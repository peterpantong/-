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검토체크리스트" sheetId="2" state="visible" r:id="rId2"/>
    <sheet name="실적추이" sheetId="3" state="visible" r:id="rId3"/>
    <sheet name="재무지표" sheetId="4" state="visible" r:id="rId4"/>
    <sheet name="수주현황" sheetId="5" state="visible" r:id="rId5"/>
    <sheet name="주가추이" sheetId="6" state="visible" r:id="rId6"/>
    <sheet name="리스크·확인사항" sheetId="7" state="visible" r:id="rId7"/>
    <sheet name="출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배&quot;"/>
    <numFmt numFmtId="165" formatCode="0.0%"/>
    <numFmt numFmtId="166" formatCode="+0.0%;-0.0%;-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1F3864"/>
      <sz val="11"/>
    </font>
    <font>
      <name val="Arial"/>
      <color rgb="00008000"/>
      <sz val="10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left" vertical="center"/>
    </xf>
    <xf numFmtId="166" fontId="6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ebn.co.kr/news/articleView.html?idxno=1723528" TargetMode="External" Id="rId1" /><Relationship Type="http://schemas.openxmlformats.org/officeDocument/2006/relationships/hyperlink" Target="http://www.dhdaily.co.kr/news/articleView.html?idxno=27257" TargetMode="External" Id="rId2" /><Relationship Type="http://schemas.openxmlformats.org/officeDocument/2006/relationships/hyperlink" Target="https://www.tokenpost.kr/news/market/404649" TargetMode="External" Id="rId3" /><Relationship Type="http://schemas.openxmlformats.org/officeDocument/2006/relationships/hyperlink" Target="https://www.newstomato.com/ReadNews.aspx?no=1309822" TargetMode="External" Id="rId4" /><Relationship Type="http://schemas.openxmlformats.org/officeDocument/2006/relationships/hyperlink" Target="https://www.electimes.com/news/articleView.html?idxno=336651" TargetMode="External" Id="rId5" /><Relationship Type="http://schemas.openxmlformats.org/officeDocument/2006/relationships/hyperlink" Target="https://www.etoday.co.kr/news/view/2600062" TargetMode="External" Id="rId6" /><Relationship Type="http://schemas.openxmlformats.org/officeDocument/2006/relationships/hyperlink" Target="https://www.kmib.co.kr/article/view.asp?arcid=0029066958" TargetMode="External" Id="rId7" /><Relationship Type="http://schemas.openxmlformats.org/officeDocument/2006/relationships/hyperlink" Target="https://www.etnews.com/20251204000016" TargetMode="External" Id="rId8" /><Relationship Type="http://schemas.openxmlformats.org/officeDocument/2006/relationships/hyperlink" Target="https://www.bloter.net/news/articleView.html?idxno=668131" TargetMode="External" Id="rId9" /><Relationship Type="http://schemas.openxmlformats.org/officeDocument/2006/relationships/hyperlink" Target="https://www.topstarnews.net/news/articleView.html?idxno=16179143" TargetMode="External" Id="rId10" /><Relationship Type="http://schemas.openxmlformats.org/officeDocument/2006/relationships/hyperlink" Target="https://www.topstarnews.net/news/articleView.html?idxno=16192812" TargetMode="External" Id="rId11" /><Relationship Type="http://schemas.openxmlformats.org/officeDocument/2006/relationships/hyperlink" Target="https://www.topstarnews.net/news/articleView.html?idxno=16196001" TargetMode="External" Id="rId12" /><Relationship Type="http://schemas.openxmlformats.org/officeDocument/2006/relationships/hyperlink" Target="https://news.nate.com/view/20250813n10670" TargetMode="External" Id="rId13" /><Relationship Type="http://schemas.openxmlformats.org/officeDocument/2006/relationships/hyperlink" Target="https://comp.fnguide.com/SVO2/ASP/SVD_Main.asp?gicode=A119850" TargetMode="External" Id="rId14" /><Relationship Type="http://schemas.openxmlformats.org/officeDocument/2006/relationships/hyperlink" Target="https://dart.fss.or.kr/navi/searchNavi.do?naviCrpCik=00626464&amp;naviCode=A002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8" customWidth="1" min="3" max="3"/>
  </cols>
  <sheetData>
    <row r="1" ht="22" customHeight="1">
      <c r="A1" s="1" t="inlineStr">
        <is>
          <t>지엔씨에너지 (119850) 주가 분석</t>
        </is>
      </c>
    </row>
    <row r="2">
      <c r="A2" s="2" t="inlineStr">
        <is>
          <t>기준일 2026-09-17 · 공개 자료 기반 정리이며 투자 권유가 아님 · 검토 절차: kkaebibot-setup/THEME-REVIEW.md</t>
        </is>
      </c>
    </row>
    <row r="4" ht="26" customHeight="1">
      <c r="A4" s="3" t="inlineStr">
        <is>
          <t>항목</t>
        </is>
      </c>
      <c r="B4" s="3" t="inlineStr">
        <is>
          <t>값</t>
        </is>
      </c>
      <c r="C4" s="3" t="inlineStr">
        <is>
          <t>비고</t>
        </is>
      </c>
    </row>
    <row r="5">
      <c r="A5" s="4" t="inlineStr">
        <is>
          <t>종목명 / 코드</t>
        </is>
      </c>
      <c r="B5" s="5" t="inlineStr">
        <is>
          <t>지엔씨에너지 / 119850</t>
        </is>
      </c>
      <c r="C5" s="6" t="inlineStr">
        <is>
          <t>코스닥</t>
        </is>
      </c>
    </row>
    <row r="6">
      <c r="A6" s="7" t="inlineStr">
        <is>
          <t>현재가 (원)</t>
        </is>
      </c>
      <c r="B6" s="8" t="n">
        <v>47350</v>
      </c>
      <c r="C6" s="9" t="inlineStr">
        <is>
          <t>2026-09-16 종가, 전일 대비 -2.27%</t>
        </is>
      </c>
    </row>
    <row r="7">
      <c r="A7" s="4" t="inlineStr">
        <is>
          <t>발행주식수 (주)</t>
        </is>
      </c>
      <c r="B7" s="10" t="n">
        <v>16450000</v>
      </c>
      <c r="C7" s="6" t="inlineStr">
        <is>
          <t>약 1,645만주</t>
        </is>
      </c>
    </row>
    <row r="8">
      <c r="A8" s="7" t="inlineStr">
        <is>
          <t>시가총액 (억원)</t>
        </is>
      </c>
      <c r="B8" s="11">
        <f>B6*B7/100000000</f>
        <v>7789.075</v>
      </c>
      <c r="C8" s="9" t="inlineStr">
        <is>
          <t>현재가 x 주식수 (계산)</t>
        </is>
      </c>
    </row>
    <row r="9">
      <c r="A9" s="4" t="inlineStr">
        <is>
          <t>PER (배)</t>
        </is>
      </c>
      <c r="B9" s="12" t="n">
        <v>14.27</v>
      </c>
      <c r="C9" s="6" t="inlineStr">
        <is>
          <t>FnGuide 기준 / 복원기준 21.54배</t>
        </is>
      </c>
    </row>
    <row r="10">
      <c r="A10" s="7" t="inlineStr">
        <is>
          <t>PBR (배)</t>
        </is>
      </c>
      <c r="B10" s="13" t="n">
        <v>2.59</v>
      </c>
      <c r="C10" s="9" t="inlineStr">
        <is>
          <t>FnGuide 기준 / 복원기준 3.91배</t>
        </is>
      </c>
    </row>
    <row r="11">
      <c r="A11" s="4" t="inlineStr">
        <is>
          <t>주력 사업</t>
        </is>
      </c>
      <c r="B11" s="5" t="inlineStr">
        <is>
          <t>IDC용 비상발전기</t>
        </is>
      </c>
      <c r="C11" s="6" t="inlineStr">
        <is>
          <t>바이오가스 발전, 해외 발전(파푸아뉴기니) 병행</t>
        </is>
      </c>
    </row>
    <row r="12">
      <c r="A12" s="7" t="inlineStr">
        <is>
          <t>시장 점유율</t>
        </is>
      </c>
      <c r="B12" s="14" t="n">
        <v>0.7</v>
      </c>
      <c r="C12" s="9" t="inlineStr">
        <is>
          <t>국내 데이터센터용 비상발전기 (자료별 70~80%)</t>
        </is>
      </c>
    </row>
    <row r="14">
      <c r="A14" s="15" t="inlineStr">
        <is>
          <t>검토 판정 요약</t>
        </is>
      </c>
    </row>
    <row r="15" ht="26" customHeight="1">
      <c r="A15" s="3" t="inlineStr">
        <is>
          <t>단계</t>
        </is>
      </c>
      <c r="B15" s="3" t="inlineStr">
        <is>
          <t>판정</t>
        </is>
      </c>
      <c r="C15" s="3" t="inlineStr">
        <is>
          <t>근거 한 줄</t>
        </is>
      </c>
    </row>
    <row r="16">
      <c r="A16" s="16" t="inlineStr">
        <is>
          <t>1장 하드 배제</t>
        </is>
      </c>
      <c r="B16" s="16" t="inlineStr">
        <is>
          <t>통과</t>
        </is>
      </c>
      <c r="C16" s="17" t="inlineStr">
        <is>
          <t>관리종목·자본잠식·영업손실 해당 없음</t>
        </is>
      </c>
    </row>
    <row r="17">
      <c r="A17" s="16" t="inlineStr">
        <is>
          <t>2장 테마 실체</t>
        </is>
      </c>
      <c r="B17" s="16" t="inlineStr">
        <is>
          <t>실체 있음</t>
        </is>
      </c>
      <c r="C17" s="17" t="inlineStr">
        <is>
          <t>점유율 70%, 금액 명시 계약, 수주잔고 4,147억, 매출로 인식</t>
        </is>
      </c>
    </row>
    <row r="18">
      <c r="A18" s="18" t="inlineStr">
        <is>
          <t>3장 재무</t>
        </is>
      </c>
      <c r="B18" s="18" t="inlineStr">
        <is>
          <t>조건부 양호</t>
        </is>
      </c>
      <c r="C18" s="19" t="inlineStr">
        <is>
          <t>부채비율 64%, 순현금 877억 / 단 1Q 영업현금흐름 -128억</t>
        </is>
      </c>
    </row>
    <row r="19">
      <c r="A19" s="18" t="inlineStr">
        <is>
          <t>실적</t>
        </is>
      </c>
      <c r="B19" s="18" t="inlineStr">
        <is>
          <t>역성장, 2Q 바닥</t>
        </is>
      </c>
      <c r="C19" s="19" t="inlineStr">
        <is>
          <t>상반기 영업이익 -46.3%, 단 2Q 낙폭 -17%로 축소</t>
        </is>
      </c>
    </row>
    <row r="20">
      <c r="A20" s="18" t="inlineStr">
        <is>
          <t>밸류에이션</t>
        </is>
      </c>
      <c r="B20" s="18" t="inlineStr">
        <is>
          <t>성장 선반영</t>
        </is>
      </c>
      <c r="C20" s="19" t="inlineStr">
        <is>
          <t>PER 14~21배, 주가 이미 2배 상승 후 구간</t>
        </is>
      </c>
    </row>
    <row r="21">
      <c r="A21" s="20" t="inlineStr">
        <is>
          <t>최대 변수</t>
        </is>
      </c>
      <c r="B21" s="20" t="inlineStr">
        <is>
          <t>당진 2조 SPC</t>
        </is>
      </c>
      <c r="C21" s="21" t="inlineStr">
        <is>
          <t>시총 7,800억 회사의 2조 프로젝트 - 조달 방식이 관건</t>
        </is>
      </c>
    </row>
    <row r="23">
      <c r="A23" s="7" t="inlineStr">
        <is>
          <t>범례</t>
        </is>
      </c>
    </row>
    <row r="24">
      <c r="A24" s="22" t="inlineStr">
        <is>
          <t>파란색 = 출처가 있는 입력값</t>
        </is>
      </c>
    </row>
    <row r="25">
      <c r="A25" s="23" t="inlineStr">
        <is>
          <t>검은색 = 시트 내 계산식</t>
        </is>
      </c>
    </row>
    <row r="26">
      <c r="A26" s="24" t="inlineStr">
        <is>
          <t>초록색 = 다른 시트 참조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0" customWidth="1" min="4" max="4"/>
    <col width="52" customWidth="1" min="5" max="5"/>
  </cols>
  <sheetData>
    <row r="1" ht="22" customHeight="1">
      <c r="A1" s="1" t="inlineStr">
        <is>
          <t>THEME-REVIEW 3단계 체크리스트</t>
        </is>
      </c>
    </row>
    <row r="2">
      <c r="A2" s="2" t="inlineStr">
        <is>
          <t>1장 기계 배제 → 2장 테마 실체 → 3장 재무. 앞 단계 통과분만 다음 단계로.</t>
        </is>
      </c>
    </row>
    <row r="4" ht="26" customHeight="1">
      <c r="A4" s="3" t="inlineStr">
        <is>
          <t>단계</t>
        </is>
      </c>
      <c r="B4" s="3" t="inlineStr">
        <is>
          <t>점검 항목</t>
        </is>
      </c>
      <c r="C4" s="3" t="inlineStr">
        <is>
          <t>결과</t>
        </is>
      </c>
      <c r="D4" s="3" t="inlineStr">
        <is>
          <t>판정</t>
        </is>
      </c>
      <c r="E4" s="3" t="inlineStr">
        <is>
          <t>근거 / 출처</t>
        </is>
      </c>
    </row>
    <row r="5">
      <c r="A5" s="25" t="inlineStr">
        <is>
          <t>1장 하드배제</t>
        </is>
      </c>
      <c r="B5" s="17" t="inlineStr">
        <is>
          <t>관리종목·투자주의환기 지정</t>
        </is>
      </c>
      <c r="C5" s="17" t="inlineStr">
        <is>
          <t>해당 없음</t>
        </is>
      </c>
      <c r="D5" s="26" t="inlineStr">
        <is>
          <t>통과</t>
        </is>
      </c>
      <c r="E5" s="27" t="inlineStr">
        <is>
          <t>지정 이력 확인되지 않음</t>
        </is>
      </c>
    </row>
    <row r="6">
      <c r="A6" s="25" t="inlineStr">
        <is>
          <t>1장 하드배제</t>
        </is>
      </c>
      <c r="B6" s="17" t="inlineStr">
        <is>
          <t>거래정지·정리매매</t>
        </is>
      </c>
      <c r="C6" s="17" t="inlineStr">
        <is>
          <t>해당 없음</t>
        </is>
      </c>
      <c r="D6" s="26" t="inlineStr">
        <is>
          <t>통과</t>
        </is>
      </c>
      <c r="E6" s="27" t="inlineStr">
        <is>
          <t>정상 거래 중</t>
        </is>
      </c>
    </row>
    <row r="7">
      <c r="A7" s="25" t="inlineStr">
        <is>
          <t>1장 하드배제</t>
        </is>
      </c>
      <c r="B7" s="17" t="inlineStr">
        <is>
          <t>감사의견 비적정</t>
        </is>
      </c>
      <c r="C7" s="17" t="inlineStr">
        <is>
          <t>해당 없음</t>
        </is>
      </c>
      <c r="D7" s="26" t="inlineStr">
        <is>
          <t>통과</t>
        </is>
      </c>
      <c r="E7" s="27" t="inlineStr">
        <is>
          <t>적정 의견</t>
        </is>
      </c>
    </row>
    <row r="8">
      <c r="A8" s="25" t="inlineStr">
        <is>
          <t>1장 하드배제</t>
        </is>
      </c>
      <c r="B8" s="17" t="inlineStr">
        <is>
          <t>자본잠식</t>
        </is>
      </c>
      <c r="C8" s="17" t="inlineStr">
        <is>
          <t>자본총계 2,327억</t>
        </is>
      </c>
      <c r="D8" s="26" t="inlineStr">
        <is>
          <t>통과</t>
        </is>
      </c>
      <c r="E8" s="27" t="inlineStr">
        <is>
          <t>1Q26말 연결 기준</t>
        </is>
      </c>
    </row>
    <row r="9">
      <c r="A9" s="25" t="inlineStr">
        <is>
          <t>1장 하드배제</t>
        </is>
      </c>
      <c r="B9" s="17" t="inlineStr">
        <is>
          <t>4개 분기 연속 영업손실</t>
        </is>
      </c>
      <c r="C9" s="17" t="inlineStr">
        <is>
          <t>흑자 지속</t>
        </is>
      </c>
      <c r="D9" s="26" t="inlineStr">
        <is>
          <t>통과</t>
        </is>
      </c>
      <c r="E9" s="27" t="inlineStr">
        <is>
          <t>2025 영업이익 494억, 1H26 146억</t>
        </is>
      </c>
    </row>
    <row r="10">
      <c r="A10" s="25" t="inlineStr">
        <is>
          <t>1장 하드배제</t>
        </is>
      </c>
      <c r="B10" s="17" t="inlineStr">
        <is>
          <t>스팩·우선주·ETF</t>
        </is>
      </c>
      <c r="C10" s="17" t="inlineStr">
        <is>
          <t>해당 없음</t>
        </is>
      </c>
      <c r="D10" s="26" t="inlineStr">
        <is>
          <t>통과</t>
        </is>
      </c>
      <c r="E10" s="27" t="inlineStr">
        <is>
          <t>일반 사업회사</t>
        </is>
      </c>
    </row>
    <row r="11">
      <c r="A11" s="25" t="inlineStr">
        <is>
          <t>1장 하드배제</t>
        </is>
      </c>
      <c r="B11" s="17" t="inlineStr">
        <is>
          <t>일평균 거래대금</t>
        </is>
      </c>
      <c r="C11" s="17" t="inlineStr">
        <is>
          <t>충분</t>
        </is>
      </c>
      <c r="D11" s="26" t="inlineStr">
        <is>
          <t>통과</t>
        </is>
      </c>
      <c r="E11" s="27" t="inlineStr">
        <is>
          <t>시총 7,800억대, 유동성 문제 없음</t>
        </is>
      </c>
    </row>
    <row r="12">
      <c r="A12" s="25" t="inlineStr">
        <is>
          <t>2장 실체확인</t>
        </is>
      </c>
      <c r="B12" s="17" t="inlineStr">
        <is>
          <t>테마 매출이 재무제표에 잡히나</t>
        </is>
      </c>
      <c r="C12" s="17" t="inlineStr">
        <is>
          <t>IDC향이 주력 매출</t>
        </is>
      </c>
      <c r="D12" s="26" t="inlineStr">
        <is>
          <t>실체 있음</t>
        </is>
      </c>
      <c r="E12" s="27" t="inlineStr">
        <is>
          <t>1Q26 사업보고서 - IDC 및 R&amp;D센터향 비상발전기</t>
        </is>
      </c>
    </row>
    <row r="13">
      <c r="A13" s="25" t="inlineStr">
        <is>
          <t>2장 실체확인</t>
        </is>
      </c>
      <c r="B13" s="17" t="inlineStr">
        <is>
          <t>금액 명시된 계약 공시</t>
        </is>
      </c>
      <c r="C13" s="17" t="inlineStr">
        <is>
          <t>있음</t>
        </is>
      </c>
      <c r="D13" s="26" t="inlineStr">
        <is>
          <t>실체 있음</t>
        </is>
      </c>
      <c r="E13" s="27" t="inlineStr">
        <is>
          <t>삼성물산 AI데이터센터 발전기 공급계약 등</t>
        </is>
      </c>
    </row>
    <row r="14">
      <c r="A14" s="25" t="inlineStr">
        <is>
          <t>2장 실체확인</t>
        </is>
      </c>
      <c r="B14" s="17" t="inlineStr">
        <is>
          <t>수주잔고</t>
        </is>
      </c>
      <c r="C14" s="17" t="inlineStr">
        <is>
          <t>4,147억원</t>
        </is>
      </c>
      <c r="D14" s="26" t="inlineStr">
        <is>
          <t>실체 있음</t>
        </is>
      </c>
      <c r="E14" s="27" t="inlineStr">
        <is>
          <t>2026 상반기말 (1Q말 3,967억에서 증가)</t>
        </is>
      </c>
    </row>
    <row r="15">
      <c r="A15" s="25" t="inlineStr">
        <is>
          <t>2장 실체확인</t>
        </is>
      </c>
      <c r="B15" s="17" t="inlineStr">
        <is>
          <t>MOU·보도자료 의존 여부</t>
        </is>
      </c>
      <c r="C15" s="17" t="inlineStr">
        <is>
          <t>아님</t>
        </is>
      </c>
      <c r="D15" s="26" t="inlineStr">
        <is>
          <t>실체 있음</t>
        </is>
      </c>
      <c r="E15" s="27" t="inlineStr">
        <is>
          <t>7월 이후 신규수주 5건 2,072억 - 금액 공시</t>
        </is>
      </c>
    </row>
    <row r="16">
      <c r="A16" s="25" t="inlineStr">
        <is>
          <t>2장 실체확인</t>
        </is>
      </c>
      <c r="B16" s="17" t="inlineStr">
        <is>
          <t>시장 지위</t>
        </is>
      </c>
      <c r="C16" s="17" t="inlineStr">
        <is>
          <t>점유율 약 70%</t>
        </is>
      </c>
      <c r="D16" s="26" t="inlineStr">
        <is>
          <t>실체 있음</t>
        </is>
      </c>
      <c r="E16" s="27" t="inlineStr">
        <is>
          <t>국내 데이터센터용 비상발전기 과점</t>
        </is>
      </c>
    </row>
    <row r="17">
      <c r="A17" s="25" t="inlineStr">
        <is>
          <t>3장 재무</t>
        </is>
      </c>
      <c r="B17" s="17" t="inlineStr">
        <is>
          <t>부채비율</t>
        </is>
      </c>
      <c r="C17" s="17" t="inlineStr">
        <is>
          <t>64.0%</t>
        </is>
      </c>
      <c r="D17" s="26" t="inlineStr">
        <is>
          <t>양호</t>
        </is>
      </c>
      <c r="E17" s="27" t="inlineStr">
        <is>
          <t>부채 1,489억 / 자본 2,327억, 1Q26말</t>
        </is>
      </c>
    </row>
    <row r="18">
      <c r="A18" s="25" t="inlineStr">
        <is>
          <t>3장 재무</t>
        </is>
      </c>
      <c r="B18" s="17" t="inlineStr">
        <is>
          <t>이자보상배율</t>
        </is>
      </c>
      <c r="C18" s="17" t="inlineStr">
        <is>
          <t>논외 (순현금)</t>
        </is>
      </c>
      <c r="D18" s="26" t="inlineStr">
        <is>
          <t>양호</t>
        </is>
      </c>
      <c r="E18" s="27" t="inlineStr">
        <is>
          <t>차입금 382억 &lt; 현금 1,259억</t>
        </is>
      </c>
    </row>
    <row r="19">
      <c r="A19" s="25" t="inlineStr">
        <is>
          <t>3장 재무</t>
        </is>
      </c>
      <c r="B19" s="17" t="inlineStr">
        <is>
          <t>순차입금</t>
        </is>
      </c>
      <c r="C19" s="17" t="inlineStr">
        <is>
          <t>-877억 (순현금)</t>
        </is>
      </c>
      <c r="D19" s="26" t="inlineStr">
        <is>
          <t>양호</t>
        </is>
      </c>
      <c r="E19" s="27" t="inlineStr">
        <is>
          <t>IB토마토 크레딧시그널</t>
        </is>
      </c>
    </row>
    <row r="20">
      <c r="A20" s="28" t="inlineStr">
        <is>
          <t>3장 재무</t>
        </is>
      </c>
      <c r="B20" s="19" t="inlineStr">
        <is>
          <t>영업활동현금흐름</t>
        </is>
      </c>
      <c r="C20" s="19" t="inlineStr">
        <is>
          <t>1Q26 -128억</t>
        </is>
      </c>
      <c r="D20" s="29" t="inlineStr">
        <is>
          <t>확인 필요</t>
        </is>
      </c>
      <c r="E20" s="30" t="inlineStr">
        <is>
          <t>순이익 흑자인데 영업CF 적자 - 3Q 보고서 대조 필수</t>
        </is>
      </c>
    </row>
    <row r="21">
      <c r="A21" s="28" t="inlineStr">
        <is>
          <t>3장 재무</t>
        </is>
      </c>
      <c r="B21" s="19" t="inlineStr">
        <is>
          <t>희석 이력 (유증·CB)</t>
        </is>
      </c>
      <c r="C21" s="19" t="inlineStr">
        <is>
          <t>검색상 확인 안 됨</t>
        </is>
      </c>
      <c r="D21" s="29" t="inlineStr">
        <is>
          <t>확인 필요</t>
        </is>
      </c>
      <c r="E21" s="30" t="inlineStr">
        <is>
          <t>없다고 단정 불가 - DART 원문 확인 요</t>
        </is>
      </c>
    </row>
    <row r="22">
      <c r="A22" s="28" t="inlineStr">
        <is>
          <t>3장 재무</t>
        </is>
      </c>
      <c r="B22" s="19" t="inlineStr">
        <is>
          <t>영업이익 추세</t>
        </is>
      </c>
      <c r="C22" s="19" t="inlineStr">
        <is>
          <t>1H26 -46.3% YoY</t>
        </is>
      </c>
      <c r="D22" s="29" t="inlineStr">
        <is>
          <t>확인 필요</t>
        </is>
      </c>
      <c r="E22" s="30" t="inlineStr">
        <is>
          <t>수주는 증가, 실적은 역성장 - 괴리 존재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  <col width="17" customWidth="1" min="8" max="8"/>
  </cols>
  <sheetData>
    <row r="1" ht="22" customHeight="1">
      <c r="A1" s="1" t="inlineStr">
        <is>
          <t>실적 추이 (연결, 억원)</t>
        </is>
      </c>
    </row>
    <row r="2">
      <c r="A2" s="2" t="inlineStr">
        <is>
          <t>2Q26·1H26·2025 실적과 YoY는 보도 기준 입력값. 1Q26과 전년동기는 계산으로 도출 - 반올림 오차 있을 수 있음.</t>
        </is>
      </c>
    </row>
    <row r="4" ht="26" customHeight="1">
      <c r="A4" s="3" t="inlineStr">
        <is>
          <t>구분</t>
        </is>
      </c>
      <c r="B4" s="3" t="inlineStr">
        <is>
          <t>매출액</t>
        </is>
      </c>
      <c r="C4" s="3" t="inlineStr">
        <is>
          <t>영업이익</t>
        </is>
      </c>
      <c r="D4" s="3" t="inlineStr">
        <is>
          <t>영업이익률</t>
        </is>
      </c>
      <c r="E4" s="3" t="inlineStr">
        <is>
          <t>매출 YoY</t>
        </is>
      </c>
      <c r="F4" s="3" t="inlineStr">
        <is>
          <t>영업이익 YoY</t>
        </is>
      </c>
      <c r="G4" s="3" t="inlineStr">
        <is>
          <t>전년동기 매출</t>
        </is>
      </c>
      <c r="H4" s="3" t="inlineStr">
        <is>
          <t>전년동기 영업이익</t>
        </is>
      </c>
    </row>
    <row r="5">
      <c r="A5" s="4" t="inlineStr">
        <is>
          <t>1Q26</t>
        </is>
      </c>
      <c r="B5" s="31">
        <f>B7-B6</f>
        <v>554</v>
      </c>
      <c r="C5" s="31">
        <f>C7-C6</f>
        <v>44</v>
      </c>
      <c r="D5" s="32">
        <f>IFERROR(C5/B5,0)</f>
        <v>0.0794223827</v>
      </c>
      <c r="E5" s="33" t="n">
        <v>-0.164</v>
      </c>
      <c r="F5" s="33" t="n">
        <v>-0.706</v>
      </c>
      <c r="G5" s="31">
        <f>IFERROR(B5/(1+E5),0)</f>
        <v>662.6794258373</v>
      </c>
      <c r="H5" s="31">
        <f>IFERROR(C5/(1+F5),0)</f>
        <v>149.6598639456</v>
      </c>
    </row>
    <row r="6">
      <c r="A6" s="7" t="inlineStr">
        <is>
          <t>2Q26</t>
        </is>
      </c>
      <c r="B6" s="8" t="n">
        <v>665</v>
      </c>
      <c r="C6" s="8" t="n">
        <v>102</v>
      </c>
      <c r="D6" s="34">
        <f>IFERROR(C6/B6,0)</f>
        <v>0.1533834586</v>
      </c>
      <c r="E6" s="35" t="n">
        <v>0.09</v>
      </c>
      <c r="F6" s="35" t="n">
        <v>-0.17</v>
      </c>
      <c r="G6" s="11">
        <f>IFERROR(B6/(1+E6),0)</f>
        <v>610.0917431193</v>
      </c>
      <c r="H6" s="11">
        <f>IFERROR(C6/(1+F6),0)</f>
        <v>122.8915662651</v>
      </c>
    </row>
    <row r="7">
      <c r="A7" s="4" t="inlineStr">
        <is>
          <t>1H26 합계</t>
        </is>
      </c>
      <c r="B7" s="10" t="n">
        <v>1219</v>
      </c>
      <c r="C7" s="10" t="n">
        <v>146</v>
      </c>
      <c r="D7" s="32">
        <f>IFERROR(C7/B7,0)</f>
        <v>0.1197703035</v>
      </c>
      <c r="E7" s="33" t="n">
        <v>-0.041</v>
      </c>
      <c r="F7" s="33" t="n">
        <v>-0.463</v>
      </c>
      <c r="G7" s="31">
        <f>IFERROR(B7/(1+E7),0)</f>
        <v>1271.1157455683</v>
      </c>
      <c r="H7" s="31">
        <f>IFERROR(C7/(1+F7),0)</f>
        <v>271.8808193669</v>
      </c>
    </row>
    <row r="8">
      <c r="A8" s="7" t="inlineStr">
        <is>
          <t>2025 연간</t>
        </is>
      </c>
      <c r="B8" s="8" t="n">
        <v>2626</v>
      </c>
      <c r="C8" s="8" t="n">
        <v>494</v>
      </c>
      <c r="D8" s="34">
        <f>IFERROR(C8/B8,0)</f>
        <v>0.1881188119</v>
      </c>
      <c r="E8" s="35" t="n">
        <v>0.16</v>
      </c>
      <c r="F8" s="35" t="n">
        <v>0.5580000000000001</v>
      </c>
      <c r="G8" s="11">
        <f>IFERROR(B8/(1+E8),0)</f>
        <v>2263.7931034483</v>
      </c>
      <c r="H8" s="11">
        <f>IFERROR(C8/(1+F8),0)</f>
        <v>317.0731707317</v>
      </c>
    </row>
    <row r="10">
      <c r="A10" s="2" t="inlineStr">
        <is>
          <t>핵심: 수주잔고는 사상 최대인데 상반기 영업이익은 반토막.</t>
        </is>
      </c>
    </row>
    <row r="11">
      <c r="A11" s="2" t="inlineStr">
        <is>
          <t>영업이익률이 2025년 18.8%에서 1Q26 7.9%까지 떨어졌다가 2Q26 15.3%로 회복.</t>
        </is>
      </c>
    </row>
    <row r="12">
      <c r="A12" s="2" t="inlineStr">
        <is>
          <t>설명 - 비상발전기는 납품 전 부하시험(테스트베드)을 거쳐야 하는데 설비 capa가 수주 속도를 못 따라감.</t>
        </is>
      </c>
    </row>
    <row r="13">
      <c r="A13" s="2" t="inlineStr">
        <is>
          <t>당진 테스트베드 증설이 2026년 완료되면 쌓인 수주잔고의 매출 인식이 빨라진다는 것이 증권가 논리.</t>
        </is>
      </c>
    </row>
    <row r="14">
      <c r="A14" s="2" t="inlineStr">
        <is>
          <t>분기 흐름은 이미 전환 - 영업이익 낙폭 1Q -70.6% → 2Q -17%, 2Q 매출은 +9% 플러스 전환.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56" customWidth="1" min="4" max="4"/>
  </cols>
  <sheetData>
    <row r="1" ht="22" customHeight="1">
      <c r="A1" s="1" t="inlineStr">
        <is>
          <t>재무 상태 (1Q26말 연결, 억원)</t>
        </is>
      </c>
    </row>
    <row r="2">
      <c r="A2" s="2" t="inlineStr">
        <is>
          <t>출처: IB토마토 크레딧시그널 / 기업정보 집계. 실제 판단 전 DART 원문 대조 권장.</t>
        </is>
      </c>
    </row>
    <row r="4" ht="26" customHeight="1">
      <c r="A4" s="3" t="inlineStr">
        <is>
          <t>항목</t>
        </is>
      </c>
      <c r="B4" s="3" t="inlineStr">
        <is>
          <t>금액 / 비율</t>
        </is>
      </c>
      <c r="C4" s="3" t="inlineStr">
        <is>
          <t>형식</t>
        </is>
      </c>
      <c r="D4" s="3" t="inlineStr">
        <is>
          <t>비고</t>
        </is>
      </c>
    </row>
    <row r="5">
      <c r="A5" s="4" t="inlineStr">
        <is>
          <t>자산총계</t>
        </is>
      </c>
      <c r="B5" s="10" t="n">
        <v>3816</v>
      </c>
      <c r="C5" s="36" t="inlineStr">
        <is>
          <t>입력</t>
        </is>
      </c>
      <c r="D5" s="6" t="inlineStr">
        <is>
          <t>1Q26말 연결</t>
        </is>
      </c>
    </row>
    <row r="6">
      <c r="A6" s="7" t="inlineStr">
        <is>
          <t>부채총계</t>
        </is>
      </c>
      <c r="B6" s="8" t="n">
        <v>1489</v>
      </c>
      <c r="C6" s="37" t="inlineStr">
        <is>
          <t>입력</t>
        </is>
      </c>
      <c r="D6" s="9" t="inlineStr"/>
    </row>
    <row r="7">
      <c r="A7" s="4" t="inlineStr">
        <is>
          <t>자본총계</t>
        </is>
      </c>
      <c r="B7" s="10" t="n">
        <v>2327</v>
      </c>
      <c r="C7" s="36" t="inlineStr">
        <is>
          <t>입력</t>
        </is>
      </c>
      <c r="D7" s="6" t="inlineStr"/>
    </row>
    <row r="8">
      <c r="A8" s="7" t="inlineStr">
        <is>
          <t>부채비율</t>
        </is>
      </c>
      <c r="B8" s="34">
        <f>B6/B7</f>
        <v>0.6398796734</v>
      </c>
      <c r="C8" s="37" t="inlineStr">
        <is>
          <t>계산</t>
        </is>
      </c>
      <c r="D8" s="9" t="inlineStr">
        <is>
          <t>부채총계 / 자본총계 - 100% 미만이면 건전</t>
        </is>
      </c>
    </row>
    <row r="9">
      <c r="A9" s="4" t="inlineStr">
        <is>
          <t>자기자본비율</t>
        </is>
      </c>
      <c r="B9" s="32">
        <f>B7/B5</f>
        <v>0.6098008386</v>
      </c>
      <c r="C9" s="36" t="inlineStr">
        <is>
          <t>계산</t>
        </is>
      </c>
      <c r="D9" s="6" t="inlineStr">
        <is>
          <t>자본총계 / 자산총계</t>
        </is>
      </c>
    </row>
    <row r="10">
      <c r="A10" s="7" t="inlineStr">
        <is>
          <t>총차입금</t>
        </is>
      </c>
      <c r="B10" s="8" t="n">
        <v>382</v>
      </c>
      <c r="C10" s="37" t="inlineStr">
        <is>
          <t>입력</t>
        </is>
      </c>
      <c r="D10" s="9" t="inlineStr"/>
    </row>
    <row r="11">
      <c r="A11" s="4" t="inlineStr">
        <is>
          <t>현금성자산</t>
        </is>
      </c>
      <c r="B11" s="10" t="n">
        <v>1259</v>
      </c>
      <c r="C11" s="36" t="inlineStr">
        <is>
          <t>입력</t>
        </is>
      </c>
      <c r="D11" s="6" t="inlineStr"/>
    </row>
    <row r="12">
      <c r="A12" s="7" t="inlineStr">
        <is>
          <t>순차입금</t>
        </is>
      </c>
      <c r="B12" s="11">
        <f>B10-B11</f>
        <v>-877</v>
      </c>
      <c r="C12" s="37" t="inlineStr">
        <is>
          <t>계산</t>
        </is>
      </c>
      <c r="D12" s="9" t="inlineStr">
        <is>
          <t>음수 = 순현금. 금리 인상 국면에서 강점</t>
        </is>
      </c>
    </row>
    <row r="13">
      <c r="A13" s="4" t="inlineStr">
        <is>
          <t>차입금의존도</t>
        </is>
      </c>
      <c r="B13" s="32">
        <f>B10/B5</f>
        <v>0.1001048218</v>
      </c>
      <c r="C13" s="36" t="inlineStr">
        <is>
          <t>계산</t>
        </is>
      </c>
      <c r="D13" s="6" t="inlineStr">
        <is>
          <t>총차입금 / 자산총계</t>
        </is>
      </c>
    </row>
    <row r="14">
      <c r="A14" s="18" t="inlineStr">
        <is>
          <t>영업활동현금흐름</t>
        </is>
      </c>
      <c r="B14" s="38" t="n">
        <v>-128</v>
      </c>
      <c r="C14" s="39" t="inlineStr">
        <is>
          <t>입력</t>
        </is>
      </c>
      <c r="D14" s="30" t="inlineStr">
        <is>
          <t>1Q26. 순이익 흑자인데 적자 - 확인 필요 항목</t>
        </is>
      </c>
    </row>
    <row r="15">
      <c r="A15" s="4" t="inlineStr">
        <is>
          <t>투자활동현금흐름</t>
        </is>
      </c>
      <c r="B15" s="10" t="n">
        <v>-409</v>
      </c>
      <c r="C15" s="36" t="inlineStr">
        <is>
          <t>입력</t>
        </is>
      </c>
      <c r="D15" s="6" t="inlineStr">
        <is>
          <t>1Q26. 설비·사업 투자</t>
        </is>
      </c>
    </row>
    <row r="17">
      <c r="A17" s="2" t="inlineStr">
        <is>
          <t>순현금 877억은 이 종목의 가장 강한 카드. 금리 인상 국면에서 조달비용을 걱정하지 않아도 되는 위치.</t>
        </is>
      </c>
    </row>
    <row r="18">
      <c r="A18" s="2" t="inlineStr">
        <is>
          <t>다만 영업활동현금흐름 -128억은 THEME-REVIEW 3장이 '멈추라'고 지정한 신호.</t>
        </is>
      </c>
    </row>
    <row r="19">
      <c r="A19" s="2" t="inlineStr">
        <is>
          <t>설명은 '수주 확대 국면의 운전자본 증가, 준공이 몰리는 하반기에 회수되는 계절성'이나 자동 통과 대상이 아님.</t>
        </is>
      </c>
    </row>
    <row r="20">
      <c r="A20" s="2" t="inlineStr">
        <is>
          <t>→ 3분기 보고서에서 실제 회수 여부를 반드시 대조할 것.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2" customWidth="1" min="3" max="3"/>
  </cols>
  <sheetData>
    <row r="1" ht="22" customHeight="1">
      <c r="A1" s="1" t="inlineStr">
        <is>
          <t>수주잔고 및 신규수주 전망 (억원)</t>
        </is>
      </c>
    </row>
    <row r="2">
      <c r="A2" s="2" t="inlineStr">
        <is>
          <t>전망치는 IBK투자증권 추정 - 회사 확정치가 아님.</t>
        </is>
      </c>
    </row>
    <row r="4" ht="26" customHeight="1">
      <c r="A4" s="3" t="inlineStr">
        <is>
          <t>구분</t>
        </is>
      </c>
      <c r="B4" s="3" t="inlineStr">
        <is>
          <t>금액</t>
        </is>
      </c>
      <c r="C4" s="3" t="inlineStr">
        <is>
          <t>비고</t>
        </is>
      </c>
    </row>
    <row r="5">
      <c r="A5" s="4" t="inlineStr">
        <is>
          <t>1Q26말 수주잔고</t>
        </is>
      </c>
      <c r="B5" s="10" t="n">
        <v>3967</v>
      </c>
      <c r="C5" s="6" t="inlineStr"/>
    </row>
    <row r="6">
      <c r="A6" s="7" t="inlineStr">
        <is>
          <t>1H26말 수주잔고</t>
        </is>
      </c>
      <c r="B6" s="8" t="n">
        <v>4147</v>
      </c>
      <c r="C6" s="9" t="inlineStr">
        <is>
          <t>분기 중 증가</t>
        </is>
      </c>
    </row>
    <row r="7">
      <c r="A7" s="4" t="inlineStr">
        <is>
          <t>반기 중 잔고 증감</t>
        </is>
      </c>
      <c r="B7" s="31">
        <f>B6-B5</f>
        <v>180</v>
      </c>
      <c r="C7" s="6" t="inlineStr">
        <is>
          <t>매출로 소진되는 동시에 신규 유입</t>
        </is>
      </c>
    </row>
    <row r="8">
      <c r="A8" s="7" t="inlineStr">
        <is>
          <t>7월 이후 신규수주</t>
        </is>
      </c>
      <c r="B8" s="8" t="n">
        <v>2072</v>
      </c>
      <c r="C8" s="9" t="inlineStr">
        <is>
          <t>5건, 데이터센터용</t>
        </is>
      </c>
    </row>
    <row r="9">
      <c r="A9" s="4" t="inlineStr">
        <is>
          <t>2026 신규수주 (E)</t>
        </is>
      </c>
      <c r="B9" s="10" t="n">
        <v>4686</v>
      </c>
      <c r="C9" s="6" t="inlineStr">
        <is>
          <t>IBK투자증권 전망</t>
        </is>
      </c>
    </row>
    <row r="10">
      <c r="A10" s="7" t="inlineStr">
        <is>
          <t>2027 신규수주 (E)</t>
        </is>
      </c>
      <c r="B10" s="8" t="n">
        <v>9000</v>
      </c>
      <c r="C10" s="9" t="inlineStr">
        <is>
          <t>IBK투자증권 전망</t>
        </is>
      </c>
    </row>
    <row r="11">
      <c r="A11" s="4" t="inlineStr">
        <is>
          <t>2028 신규수주 (E)</t>
        </is>
      </c>
      <c r="B11" s="10" t="n">
        <v>10000</v>
      </c>
      <c r="C11" s="6" t="inlineStr">
        <is>
          <t>IBK투자증권 전망 - 1조원</t>
        </is>
      </c>
    </row>
    <row r="12">
      <c r="A12" s="7" t="inlineStr">
        <is>
          <t>2026→2028 증가율</t>
        </is>
      </c>
      <c r="B12" s="34">
        <f>B11/B9-1</f>
        <v>1.1340162185</v>
      </c>
      <c r="C12" s="9" t="inlineStr">
        <is>
          <t>3년 누적 성장 배수</t>
        </is>
      </c>
    </row>
    <row r="14">
      <c r="A14" s="2" t="inlineStr">
        <is>
          <t>참고 - GS·NAVER·SK가 2029년 준공 목표로 추진 중인 AI 데이터센터 규모는 8.4GW.</t>
        </is>
      </c>
    </row>
    <row r="15">
      <c r="A15" s="2" t="inlineStr">
        <is>
          <t>여기에 점유율 70%를 적용하면 향후 수년간 약 2조9,000억원의 수주가 유입될 수 있다는 분석이 있음(증권가 추정).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50" customWidth="1" min="5" max="5"/>
  </cols>
  <sheetData>
    <row r="1" ht="22" customHeight="1">
      <c r="A1" s="1" t="inlineStr">
        <is>
          <t>주가 추이 (원)</t>
        </is>
      </c>
    </row>
    <row r="2">
      <c r="A2" s="2" t="inlineStr">
        <is>
          <t>52주 신고가 대비 낙폭 기준. 6주 만에 -28% 하락 후 되돌림 - 변동성이 매우 큼.</t>
        </is>
      </c>
    </row>
    <row r="4" ht="26" customHeight="1">
      <c r="A4" s="3" t="inlineStr">
        <is>
          <t>일자</t>
        </is>
      </c>
      <c r="B4" s="3" t="inlineStr">
        <is>
          <t>종가</t>
        </is>
      </c>
      <c r="C4" s="3" t="inlineStr">
        <is>
          <t>전일 대비</t>
        </is>
      </c>
      <c r="D4" s="3" t="inlineStr">
        <is>
          <t>고점 대비</t>
        </is>
      </c>
      <c r="E4" s="3" t="inlineStr">
        <is>
          <t>비고</t>
        </is>
      </c>
    </row>
    <row r="5">
      <c r="A5" s="40" t="inlineStr">
        <is>
          <t>2026-08-07</t>
        </is>
      </c>
      <c r="B5" s="10" t="n">
        <v>58000</v>
      </c>
      <c r="C5" s="36" t="inlineStr">
        <is>
          <t>-</t>
        </is>
      </c>
      <c r="D5" s="41">
        <f>B5/$B$5-1</f>
        <v>0</v>
      </c>
      <c r="E5" s="6" t="inlineStr">
        <is>
          <t>52주 신고가</t>
        </is>
      </c>
    </row>
    <row r="6">
      <c r="A6" s="42" t="inlineStr">
        <is>
          <t>2026-09-01</t>
        </is>
      </c>
      <c r="B6" s="8" t="n">
        <v>43500</v>
      </c>
      <c r="C6" s="35" t="n">
        <v>-0.0564</v>
      </c>
      <c r="D6" s="43">
        <f>B6/$B$5-1</f>
        <v>-0.25</v>
      </c>
      <c r="E6" s="9" t="inlineStr">
        <is>
          <t>9월 초 급락</t>
        </is>
      </c>
    </row>
    <row r="7">
      <c r="A7" s="40" t="inlineStr">
        <is>
          <t>2026-09-02</t>
        </is>
      </c>
      <c r="B7" s="10" t="n">
        <v>42000</v>
      </c>
      <c r="C7" s="33" t="n">
        <v>-0.04</v>
      </c>
      <c r="D7" s="41">
        <f>B7/$B$5-1</f>
        <v>-0.275862069</v>
      </c>
      <c r="E7" s="6" t="inlineStr">
        <is>
          <t>구간 저점</t>
        </is>
      </c>
    </row>
    <row r="8">
      <c r="A8" s="42" t="inlineStr">
        <is>
          <t>2026-09-14</t>
        </is>
      </c>
      <c r="B8" s="8" t="n">
        <v>49750</v>
      </c>
      <c r="C8" s="35" t="n">
        <v>-0.0168</v>
      </c>
      <c r="D8" s="43">
        <f>B8/$B$5-1</f>
        <v>-0.1422413793</v>
      </c>
      <c r="E8" s="9" t="inlineStr">
        <is>
          <t>반등 (전일 50,600)</t>
        </is>
      </c>
    </row>
    <row r="9">
      <c r="A9" s="40" t="inlineStr">
        <is>
          <t>2026-09-16</t>
        </is>
      </c>
      <c r="B9" s="10" t="n">
        <v>47350</v>
      </c>
      <c r="C9" s="33" t="n">
        <v>-0.0227</v>
      </c>
      <c r="D9" s="41">
        <f>B9/$B$5-1</f>
        <v>-0.1836206897</v>
      </c>
      <c r="E9" s="6" t="inlineStr">
        <is>
          <t>최근 종가</t>
        </is>
      </c>
    </row>
    <row r="11" ht="26" customHeight="1">
      <c r="A11" s="3" t="inlineStr">
        <is>
          <t>목표주가</t>
        </is>
      </c>
      <c r="B11" s="3" t="inlineStr">
        <is>
          <t>제시</t>
        </is>
      </c>
      <c r="C11" s="3" t="inlineStr">
        <is>
          <t>의견</t>
        </is>
      </c>
      <c r="D11" s="3" t="inlineStr">
        <is>
          <t>비고</t>
        </is>
      </c>
    </row>
    <row r="12">
      <c r="A12" s="44" t="inlineStr">
        <is>
          <t>46,000원</t>
        </is>
      </c>
      <c r="B12" s="44" t="inlineStr">
        <is>
          <t>흥국증권</t>
        </is>
      </c>
      <c r="C12" s="44" t="inlineStr">
        <is>
          <t>-</t>
        </is>
      </c>
      <c r="D12" s="9" t="inlineStr">
        <is>
          <t>2025년 8월 리포트 - 시점이 오래됨</t>
        </is>
      </c>
    </row>
    <row r="13">
      <c r="A13" s="44" t="inlineStr">
        <is>
          <t>49,000원</t>
        </is>
      </c>
      <c r="B13" s="44" t="inlineStr">
        <is>
          <t>알파증류소</t>
        </is>
      </c>
      <c r="C13" s="44" t="inlineStr">
        <is>
          <t>Hold (차익실현)</t>
        </is>
      </c>
      <c r="D13" s="9" t="inlineStr">
        <is>
          <t>2026년 8월</t>
        </is>
      </c>
    </row>
    <row r="14">
      <c r="A14" s="44" t="inlineStr">
        <is>
          <t>미제시</t>
        </is>
      </c>
      <c r="B14" s="44" t="inlineStr">
        <is>
          <t>교보증권·삼성증권</t>
        </is>
      </c>
      <c r="C14" s="44" t="inlineStr">
        <is>
          <t>Not Rated</t>
        </is>
      </c>
      <c r="D14" s="9" t="inlineStr">
        <is>
          <t>정식 커버리지가 얇다는 뜻이기도 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42" customWidth="1" min="4" max="4"/>
    <col width="20" customWidth="1" min="5" max="5"/>
    <col width="18" customWidth="1" min="6" max="6"/>
  </cols>
  <sheetData>
    <row r="1" ht="22" customHeight="1">
      <c r="A1" s="1" t="inlineStr">
        <is>
          <t>리스크 및 확인해야 할 항목</t>
        </is>
      </c>
    </row>
    <row r="2">
      <c r="A2" s="2" t="inlineStr">
        <is>
          <t>우선순위 순. 확인 결과를 '결과' 열에 채워 넣고 판단할 것.</t>
        </is>
      </c>
    </row>
    <row r="4" ht="26" customHeight="1">
      <c r="A4" s="3" t="inlineStr">
        <is>
          <t>#</t>
        </is>
      </c>
      <c r="B4" s="3" t="inlineStr">
        <is>
          <t>구분</t>
        </is>
      </c>
      <c r="C4" s="3" t="inlineStr">
        <is>
          <t>내용</t>
        </is>
      </c>
      <c r="D4" s="3" t="inlineStr">
        <is>
          <t>왜 중요한가</t>
        </is>
      </c>
      <c r="E4" s="3" t="inlineStr">
        <is>
          <t>확인처</t>
        </is>
      </c>
      <c r="F4" s="3" t="inlineStr">
        <is>
          <t>결과</t>
        </is>
      </c>
    </row>
    <row r="5" ht="42" customHeight="1">
      <c r="A5" s="45" t="n">
        <v>1</v>
      </c>
      <c r="B5" s="20" t="inlineStr">
        <is>
          <t>최대 리스크</t>
        </is>
      </c>
      <c r="C5" s="21" t="inlineStr">
        <is>
          <t>당진 2조원 SPC 참여</t>
        </is>
      </c>
      <c r="D5" s="46" t="inlineStr">
        <is>
          <t>시총 7,800억 회사가 2031년까지 2조원 프로젝트. 순현금 877억으로는 감당 불가 규모. 조달 방식이 유상증자·CB면 THEME-REVIEW 3장 '희석'이 미래형으로 발동</t>
        </is>
      </c>
      <c r="E5" s="21" t="inlineStr">
        <is>
          <t>DART 공시</t>
        </is>
      </c>
      <c r="F5" s="19" t="inlineStr"/>
    </row>
    <row r="6" ht="42" customHeight="1">
      <c r="A6" s="45" t="n">
        <v>2</v>
      </c>
      <c r="B6" s="20" t="inlineStr">
        <is>
          <t>확인 필요</t>
        </is>
      </c>
      <c r="C6" s="21" t="inlineStr">
        <is>
          <t>SPC 출자 지분율·출자 금액</t>
        </is>
      </c>
      <c r="D6" s="46" t="inlineStr">
        <is>
          <t>연결 편입 여부에 따라 재무제표가 완전히 달라짐</t>
        </is>
      </c>
      <c r="E6" s="21" t="inlineStr">
        <is>
          <t>DART 공시</t>
        </is>
      </c>
      <c r="F6" s="19" t="inlineStr"/>
    </row>
    <row r="7" ht="42" customHeight="1">
      <c r="A7" s="47" t="n">
        <v>3</v>
      </c>
      <c r="B7" s="18" t="inlineStr">
        <is>
          <t>확인 필요</t>
        </is>
      </c>
      <c r="C7" s="19" t="inlineStr">
        <is>
          <t>3Q26 영업활동현금흐름 회수</t>
        </is>
      </c>
      <c r="D7" s="30" t="inlineStr">
        <is>
          <t>1Q -128억이 계절성이라는 설명이 맞는지 검증. 아니면 이익의 질 문제</t>
        </is>
      </c>
      <c r="E7" s="19" t="inlineStr">
        <is>
          <t>3분기 보고서</t>
        </is>
      </c>
      <c r="F7" s="19" t="inlineStr"/>
    </row>
    <row r="8" ht="42" customHeight="1">
      <c r="A8" s="47" t="n">
        <v>4</v>
      </c>
      <c r="B8" s="18" t="inlineStr">
        <is>
          <t>확인 필요</t>
        </is>
      </c>
      <c r="C8" s="19" t="inlineStr">
        <is>
          <t>테스트베드 증설 완료 시점</t>
        </is>
      </c>
      <c r="D8" s="30" t="inlineStr">
        <is>
          <t>실적 반등의 실제 트리거. 지연되면 수주잔고가 매출로 안 바뀜</t>
        </is>
      </c>
      <c r="E8" s="19" t="inlineStr">
        <is>
          <t>IR·사업보고서</t>
        </is>
      </c>
      <c r="F8" s="19" t="inlineStr"/>
    </row>
    <row r="9" ht="42" customHeight="1">
      <c r="A9" s="47" t="n">
        <v>5</v>
      </c>
      <c r="B9" s="18" t="inlineStr">
        <is>
          <t>확인 필요</t>
        </is>
      </c>
      <c r="C9" s="19" t="inlineStr">
        <is>
          <t>유상증자·CB 발행 이력</t>
        </is>
      </c>
      <c r="D9" s="30" t="inlineStr">
        <is>
          <t>검색으로는 확인되지 않았으나 '없다'는 확인은 아님</t>
        </is>
      </c>
      <c r="E9" s="19" t="inlineStr">
        <is>
          <t>DART 원문</t>
        </is>
      </c>
      <c r="F9" s="19" t="inlineStr"/>
    </row>
    <row r="10" ht="42" customHeight="1">
      <c r="A10" s="47" t="n">
        <v>6</v>
      </c>
      <c r="B10" s="18" t="inlineStr">
        <is>
          <t>사업 구조</t>
        </is>
      </c>
      <c r="C10" s="19" t="inlineStr">
        <is>
          <t>제조업 → 부동산·인프라 개발업 확장</t>
        </is>
      </c>
      <c r="D10" s="30" t="inlineStr">
        <is>
          <t>본업 과점 사업자의 안정성과는 다른 종류의 위험이 추가됨</t>
        </is>
      </c>
      <c r="E10" s="19" t="inlineStr">
        <is>
          <t>사업보고서</t>
        </is>
      </c>
      <c r="F10" s="19" t="inlineStr"/>
    </row>
    <row r="11" ht="42" customHeight="1">
      <c r="A11" s="47" t="n">
        <v>7</v>
      </c>
      <c r="B11" s="18" t="inlineStr">
        <is>
          <t>시장</t>
        </is>
      </c>
      <c r="C11" s="19" t="inlineStr">
        <is>
          <t>금리 인상 국면 + AI 테마 조정</t>
        </is>
      </c>
      <c r="D11" s="30" t="inlineStr">
        <is>
          <t>8/7 고점 이후 -28% 구간을 만든 요인. 실적과 무관하게 밸류에이션을 압축</t>
        </is>
      </c>
      <c r="E11" s="19" t="inlineStr">
        <is>
          <t>시황</t>
        </is>
      </c>
      <c r="F11" s="19" t="inlineStr"/>
    </row>
    <row r="12" ht="42" customHeight="1">
      <c r="A12" s="47" t="n">
        <v>8</v>
      </c>
      <c r="B12" s="18" t="inlineStr">
        <is>
          <t>밸류에이션</t>
        </is>
      </c>
      <c r="C12" s="19" t="inlineStr">
        <is>
          <t>성장 선반영</t>
        </is>
      </c>
      <c r="D12" s="30" t="inlineStr">
        <is>
          <t>이미 주가 2배 상승 후 구간. PER 14~21배로 실체는 있으나 저평가는 아님</t>
        </is>
      </c>
      <c r="E12" s="19" t="inlineStr">
        <is>
          <t>-</t>
        </is>
      </c>
      <c r="F12" s="19" t="inlineStr"/>
    </row>
    <row r="14">
      <c r="A14" s="2" t="inlineStr">
        <is>
          <t>노란색 '결과' 열이 직접 채워 넣을 칸입니다. 예: 3Q 보고서 확인 후 '영업CF +210억, 계절성 확인됨'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76" customWidth="1" min="3" max="3"/>
  </cols>
  <sheetData>
    <row r="1" ht="22" customHeight="1">
      <c r="A1" s="1" t="inlineStr">
        <is>
          <t>출처</t>
        </is>
      </c>
    </row>
    <row r="2">
      <c r="A2" s="2" t="inlineStr">
        <is>
          <t>수치 일부는 집계·언론 경유. 투자 판단 전 DART 원문 대조 권장.</t>
        </is>
      </c>
    </row>
    <row r="4" ht="26" customHeight="1">
      <c r="A4" s="3" t="inlineStr">
        <is>
          <t>구분</t>
        </is>
      </c>
      <c r="B4" s="3" t="inlineStr">
        <is>
          <t>매체 / 자료</t>
        </is>
      </c>
      <c r="C4" s="3" t="inlineStr">
        <is>
          <t>URL</t>
        </is>
      </c>
    </row>
    <row r="5">
      <c r="A5" s="5" t="inlineStr">
        <is>
          <t>실적·수주</t>
        </is>
      </c>
      <c r="B5" s="48" t="inlineStr">
        <is>
          <t>EBN - 지엔씨에너지, AI데이터센터 수주 러시</t>
        </is>
      </c>
      <c r="C5" s="49" t="inlineStr">
        <is>
          <t>https://www.ebn.co.kr/news/articleView.html?idxno=1723528</t>
        </is>
      </c>
    </row>
    <row r="6">
      <c r="A6" s="44" t="inlineStr">
        <is>
          <t>실적·수주</t>
        </is>
      </c>
      <c r="B6" s="50" t="inlineStr">
        <is>
          <t>대한데일리 - AI 데이터센터 타고 수주 확대</t>
        </is>
      </c>
      <c r="C6" s="51" t="inlineStr">
        <is>
          <t>http://www.dhdaily.co.kr/news/articleView.html?idxno=27257</t>
        </is>
      </c>
    </row>
    <row r="7">
      <c r="A7" s="5" t="inlineStr">
        <is>
          <t>수주 전망</t>
        </is>
      </c>
      <c r="B7" s="48" t="inlineStr">
        <is>
          <t>TokenPost - 2028년 신규수주 1조원 전망</t>
        </is>
      </c>
      <c r="C7" s="49" t="inlineStr">
        <is>
          <t>https://www.tokenpost.kr/news/market/404649</t>
        </is>
      </c>
    </row>
    <row r="8">
      <c r="A8" s="44" t="inlineStr">
        <is>
          <t>재무</t>
        </is>
      </c>
      <c r="B8" s="50" t="inlineStr">
        <is>
          <t>뉴스토마토 - IB토마토 크레딧시그널</t>
        </is>
      </c>
      <c r="C8" s="51" t="inlineStr">
        <is>
          <t>https://www.newstomato.com/ReadNews.aspx?no=1309822</t>
        </is>
      </c>
    </row>
    <row r="9">
      <c r="A9" s="5" t="inlineStr">
        <is>
          <t>기업 개요</t>
        </is>
      </c>
      <c r="B9" s="48" t="inlineStr">
        <is>
          <t>전기신문 - 30년 알짜기업 지엔씨에너지</t>
        </is>
      </c>
      <c r="C9" s="49" t="inlineStr">
        <is>
          <t>https://www.electimes.com/news/articleView.html?idxno=336651</t>
        </is>
      </c>
    </row>
    <row r="10">
      <c r="A10" s="44" t="inlineStr">
        <is>
          <t>테마</t>
        </is>
      </c>
      <c r="B10" s="50" t="inlineStr">
        <is>
          <t>이투데이 - 신공장까지 풀가동, SK 1000조 투자</t>
        </is>
      </c>
      <c r="C10" s="51" t="inlineStr">
        <is>
          <t>https://www.etoday.co.kr/news/view/2600062</t>
        </is>
      </c>
    </row>
    <row r="11">
      <c r="A11" s="5" t="inlineStr">
        <is>
          <t>당진 SPC</t>
        </is>
      </c>
      <c r="B11" s="48" t="inlineStr">
        <is>
          <t>국민일보 - 당진에 2조원 규모 AI데이터센터</t>
        </is>
      </c>
      <c r="C11" s="49" t="inlineStr">
        <is>
          <t>https://www.kmib.co.kr/article/view.asp?arcid=0029066958</t>
        </is>
      </c>
    </row>
    <row r="12">
      <c r="A12" s="44" t="inlineStr">
        <is>
          <t>당진 SPC</t>
        </is>
      </c>
      <c r="B12" s="50" t="inlineStr">
        <is>
          <t>전자신문 - 당진 석문산단 2031년까지 2조 투입</t>
        </is>
      </c>
      <c r="C12" s="51" t="inlineStr">
        <is>
          <t>https://www.etnews.com/20251204000016</t>
        </is>
      </c>
    </row>
    <row r="13">
      <c r="A13" s="5" t="inlineStr">
        <is>
          <t>계약</t>
        </is>
      </c>
      <c r="B13" s="48" t="inlineStr">
        <is>
          <t>블로터 - 발전기 공급 연쇄 계약</t>
        </is>
      </c>
      <c r="C13" s="49" t="inlineStr">
        <is>
          <t>https://www.bloter.net/news/articleView.html?idxno=668131</t>
        </is>
      </c>
    </row>
    <row r="14">
      <c r="A14" s="44" t="inlineStr">
        <is>
          <t>주가</t>
        </is>
      </c>
      <c r="B14" s="50" t="inlineStr">
        <is>
          <t>톱스타뉴스 - 9월 1일 43,500원</t>
        </is>
      </c>
      <c r="C14" s="51" t="inlineStr">
        <is>
          <t>https://www.topstarnews.net/news/articleView.html?idxno=16179143</t>
        </is>
      </c>
    </row>
    <row r="15">
      <c r="A15" s="5" t="inlineStr">
        <is>
          <t>주가</t>
        </is>
      </c>
      <c r="B15" s="48" t="inlineStr">
        <is>
          <t>톱스타뉴스 - 9월 14일 49,750원</t>
        </is>
      </c>
      <c r="C15" s="49" t="inlineStr">
        <is>
          <t>https://www.topstarnews.net/news/articleView.html?idxno=16192812</t>
        </is>
      </c>
    </row>
    <row r="16">
      <c r="A16" s="44" t="inlineStr">
        <is>
          <t>주가</t>
        </is>
      </c>
      <c r="B16" s="50" t="inlineStr">
        <is>
          <t>톱스타뉴스 - 9월 16일 47,300원</t>
        </is>
      </c>
      <c r="C16" s="51" t="inlineStr">
        <is>
          <t>https://www.topstarnews.net/news/articleView.html?idxno=16196001</t>
        </is>
      </c>
    </row>
    <row r="17">
      <c r="A17" s="5" t="inlineStr">
        <is>
          <t>목표가</t>
        </is>
      </c>
      <c r="B17" s="48" t="inlineStr">
        <is>
          <t>흥국증권 리포트 브리핑 (2025-08)</t>
        </is>
      </c>
      <c r="C17" s="49" t="inlineStr">
        <is>
          <t>https://news.nate.com/view/20250813n10670</t>
        </is>
      </c>
    </row>
    <row r="18">
      <c r="A18" s="44" t="inlineStr">
        <is>
          <t>지표</t>
        </is>
      </c>
      <c r="B18" s="50" t="inlineStr">
        <is>
          <t>FnGuide Company Guide</t>
        </is>
      </c>
      <c r="C18" s="51" t="inlineStr">
        <is>
          <t>https://comp.fnguide.com/SVO2/ASP/SVD_Main.asp?gicode=A119850</t>
        </is>
      </c>
    </row>
    <row r="19">
      <c r="A19" s="5" t="inlineStr">
        <is>
          <t>원문</t>
        </is>
      </c>
      <c r="B19" s="48" t="inlineStr">
        <is>
          <t>DART 정기공시</t>
        </is>
      </c>
      <c r="C19" s="49" t="inlineStr">
        <is>
          <t>https://dart.fss.or.kr/navi/searchNavi.do?naviCrpCik=00626464&amp;naviCode=A002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2026-09-17T00:38:14Z</dcterms:created>
  <dcterms:modified xsi:type="dcterms:W3CDTF">2026-09-17T00:38:14Z</dcterms:modified>
</cp:coreProperties>
</file>